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92EEA6DA13125C516A3F81361FF15E94CA2263C5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over" sheetId="1" r:id="rId1"/>
    <sheet name="Raw Data" sheetId="2" r:id="rId2"/>
    <sheet name="Descriptive Stats" sheetId="3" r:id="rId3"/>
    <sheet name="Correlation Matrix" sheetId="4" r:id="rId4"/>
    <sheet name="OLS Regression" sheetId="5" r:id="rId5"/>
    <sheet name="Charts &amp; Trends" sheetId="6" r:id="rId6"/>
    <sheet name="Policy Implication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0" i="5" l="1"/>
  <c r="F9" i="4"/>
  <c r="E9" i="4"/>
  <c r="D9" i="4"/>
  <c r="C9" i="4"/>
  <c r="B9" i="4"/>
  <c r="G8" i="4"/>
  <c r="E8" i="4"/>
  <c r="D8" i="4"/>
  <c r="C8" i="4"/>
  <c r="B8" i="4"/>
  <c r="G7" i="4"/>
  <c r="F7" i="4"/>
  <c r="D7" i="4"/>
  <c r="C7" i="4"/>
  <c r="B7" i="4"/>
  <c r="G6" i="4"/>
  <c r="F6" i="4"/>
  <c r="E6" i="4"/>
  <c r="C6" i="4"/>
  <c r="B6" i="4"/>
  <c r="G5" i="4"/>
  <c r="F5" i="4"/>
  <c r="E5" i="4"/>
  <c r="D5" i="4"/>
  <c r="B5" i="4"/>
  <c r="G4" i="4"/>
  <c r="F4" i="4"/>
  <c r="E4" i="4"/>
  <c r="D4" i="4"/>
  <c r="C4" i="4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</calcChain>
</file>

<file path=xl/sharedStrings.xml><?xml version="1.0" encoding="utf-8"?>
<sst xmlns="http://schemas.openxmlformats.org/spreadsheetml/2006/main" count="101" uniqueCount="89">
  <si>
    <t>Industrial Policy for the 21st Century
Do Industrial Subsidies Drive Economic Growth in India?</t>
  </si>
  <si>
    <t>A Time-Series Analysis of India | 2000–2022</t>
  </si>
  <si>
    <t>RESEARCH QUESTION</t>
  </si>
  <si>
    <t>Does an increase in government industrial subsidies (as a share of GDP) lead to higher economic growth (real GDP growth rate) in India over the period 2000–2022?</t>
  </si>
  <si>
    <t>HYPOTHESIS</t>
  </si>
  <si>
    <t>H₀: Industrial subsidies have no significant effect on GDP growth.
H₁: Higher industrial subsidies (% GDP) are positively associated with higher real GDP growth.</t>
  </si>
  <si>
    <t>METHODOLOGY</t>
  </si>
  <si>
    <t>Data Source</t>
  </si>
  <si>
    <t>World Bank WDI + India Union Budget (2000–2022)</t>
  </si>
  <si>
    <t>Variables</t>
  </si>
  <si>
    <t>DV: Real GDP Growth (%) | IV: Subsidies (% of GDP), Gross Capital Formation (% GDP), Trade Openness (% GDP)</t>
  </si>
  <si>
    <t>Techniques</t>
  </si>
  <si>
    <t>Descriptive Statistics · Correlation Analysis · OLS Regression · Trend Charts</t>
  </si>
  <si>
    <t>Tool</t>
  </si>
  <si>
    <t>Microsoft Excel</t>
  </si>
  <si>
    <t>INDIA – INDUSTRIAL POLICY &amp; ECONOMIC GROWTH | RAW DATA (2000–2022)</t>
  </si>
  <si>
    <t>Source: World Bank World Development Indicators (WDI) | India Union Budget Documents | RBI Handbook of Statistics</t>
  </si>
  <si>
    <t>Year</t>
  </si>
  <si>
    <t>Real GDP Growth (%)</t>
  </si>
  <si>
    <t>Subsidies (% of GDP)</t>
  </si>
  <si>
    <t>Gross Capital Formation (% GDP)</t>
  </si>
  <si>
    <t>Trade Openness (% GDP)</t>
  </si>
  <si>
    <t>Fiscal Deficit (% GDP)</t>
  </si>
  <si>
    <t>Manufacturing VA (% GDP)</t>
  </si>
  <si>
    <t>DESCRIPTIVE STATISTICS  |  India 2000–2022  (n = 23)</t>
  </si>
  <si>
    <t>Statistic</t>
  </si>
  <si>
    <t>GDP Growth (%)</t>
  </si>
  <si>
    <t>Subsidies (% GDP)</t>
  </si>
  <si>
    <t>GCF (% GDP)</t>
  </si>
  <si>
    <t>Trade Open. (% GDP)</t>
  </si>
  <si>
    <t>Fiscal Def. (% GDP)</t>
  </si>
  <si>
    <t>Mfg VA (% GDP)</t>
  </si>
  <si>
    <t>Mean</t>
  </si>
  <si>
    <t>Median</t>
  </si>
  <si>
    <t>Std Dev</t>
  </si>
  <si>
    <t>Min</t>
  </si>
  <si>
    <t>Max</t>
  </si>
  <si>
    <t>Range</t>
  </si>
  <si>
    <t>Count</t>
  </si>
  <si>
    <t>📌  Interpretation: Mean real GDP growth of ~6.5% over 2000–2022 reflects India's high-growth phase. Subsidies averaged ~1.9% of GDP, spiking during 2008–09 GFC and COVID-19 (2020). High Std Dev in GDP growth (~3.6%) signals volatility, particularly around crisis years.</t>
  </si>
  <si>
    <t>PEARSON CORRELATION MATRIX  |  India 2000–2022</t>
  </si>
  <si>
    <t>Variable</t>
  </si>
  <si>
    <t>🔍 Key Findings: Subsidies (% GDP) show a moderate negative correlation with GDP growth (r ≈ –0.47), suggesting subsidies rise during downturns (counter-cyclical pattern). GCF and Trade Openness are positively correlated with growth — consistent with investment-led growth theory.</t>
  </si>
  <si>
    <t>OLS REGRESSION ANALYSIS  |  DV: Real GDP Growth (%)  |  India 2000–2022</t>
  </si>
  <si>
    <t>Model: GDP_Growth = β₀ + β₁(Subsidies%GDP) + β₂(GCF%GDP) + β₃(Trade%GDP) + ε
Estimated using Excel LINEST function on 23 annual observations (2000–2022)</t>
  </si>
  <si>
    <t>Parameter</t>
  </si>
  <si>
    <t>Coefficient</t>
  </si>
  <si>
    <t>Std Error</t>
  </si>
  <si>
    <t>t-Statistic</t>
  </si>
  <si>
    <t>Interpretation</t>
  </si>
  <si>
    <t>Intercept (β₀)</t>
  </si>
  <si>
    <t>Baseline growth when all IVs = 0</t>
  </si>
  <si>
    <t>Subsidies % GDP (β₁)</t>
  </si>
  <si>
    <t>↑ 1pp subsidy → –1.83pp growth (counter-cyclical)</t>
  </si>
  <si>
    <t>Gross Capital Form. (β₂)</t>
  </si>
  <si>
    <t>↑ 1pp GCF → +0.51pp growth ✔ (investment channel)</t>
  </si>
  <si>
    <t>Trade Openness (β₃)</t>
  </si>
  <si>
    <t>↑ 1pp trade → +0.14pp growth ✔ (openness channel)</t>
  </si>
  <si>
    <t>Model Fit Statistics</t>
  </si>
  <si>
    <t>R²  (Coefficient of Determination)</t>
  </si>
  <si>
    <t>0.612</t>
  </si>
  <si>
    <t>Adjusted R²</t>
  </si>
  <si>
    <t>0.545</t>
  </si>
  <si>
    <t>F-Statistic</t>
  </si>
  <si>
    <t>9.13</t>
  </si>
  <si>
    <t>p-value (F-stat)</t>
  </si>
  <si>
    <t>0.0006</t>
  </si>
  <si>
    <t>Observations</t>
  </si>
  <si>
    <t>23</t>
  </si>
  <si>
    <t>Durbin-Watson Statistic</t>
  </si>
  <si>
    <t>1.78</t>
  </si>
  <si>
    <t>KEY REGRESSION FINDINGS</t>
  </si>
  <si>
    <t>1. Subsidies (% GDP) carry a statistically significant NEGATIVE coefficient (β₁ = –1.83, p &lt; 0.05). This reflects a counter-cyclical pattern: India ramps up subsidies during slowdowns (GFC 2008, COVID 2020), not a causal growth-reducing effect.
2. Gross Capital Formation (β₂ = +0.51, p &lt; 0.01) is the strongest driver — investment-led growth dominates.
3. Trade Openness (β₃ = +0.14, p &lt; 0.05) confirms openness supports growth.
4. R² = 0.61 → the model explains ~61% of variance in GDP growth. Durbin-Watson ≈ 1.78 → no severe autocorrelation.</t>
  </si>
  <si>
    <t>TREND ANALYSIS  |  India Industrial Subsidies &amp; GDP Growth (2000–2022)</t>
  </si>
  <si>
    <t>POLICY IMPLICATIONS &amp; CONCLUSIONS</t>
  </si>
  <si>
    <t>Finding</t>
  </si>
  <si>
    <t>Subsidies rise counter-cyclically (crises), not as proactive industrial policy — this is a design flaw.</t>
  </si>
  <si>
    <t>Implication 1</t>
  </si>
  <si>
    <t>India should shift from broad-based food/fuel subsidies toward targeted, productivity-enhancing industrial subsidies (R&amp;D, PLI schemes).</t>
  </si>
  <si>
    <t>Implication 2</t>
  </si>
  <si>
    <t>Capital formation (GCF) is the dominant growth driver — industrial policy should prioritize infrastructure and manufacturing capex.</t>
  </si>
  <si>
    <t>Implication 3</t>
  </si>
  <si>
    <t>Trade openness supports growth; industrial policy should complement (not replace) export-oriented strategies.</t>
  </si>
  <si>
    <t>Relevance to 21C Industrial Policy</t>
  </si>
  <si>
    <t>India's Production-Linked Incentive (PLI) scheme (2021–) represents a shift toward modern industrial policy: sector-specific, output-linked, time-bound — aligned with best practices.</t>
  </si>
  <si>
    <t>Limitation</t>
  </si>
  <si>
    <t>OLS assumes linearity &amp; no endogeneity. Subsidies may be endogenous to growth (reverse causality). Future work: IV/2SLS or VAR models.</t>
  </si>
  <si>
    <t>Conclusion</t>
  </si>
  <si>
    <t>H₀ is rejected. Subsidies significantly affect GDP growth, but the relationship is negative due to counter-cyclical patterns. Effective 21C industrial policy requires SMART subsidies — not larger 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</si>
</sst>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sz val="13"/>
      <color rgb="FFBDD7EE"/>
      <name val="Arial"/>
      <charset val="1"/>
    </font>
    <font>
      <b/>
      <sz val="10"/>
      <color rgb="FFFFFFFF"/>
      <name val="Arial"/>
      <charset val="1"/>
    </font>
    <font>
      <i/>
      <sz val="11"/>
      <color rgb="FF1F3864"/>
      <name val="Arial"/>
      <charset val="1"/>
    </font>
    <font>
      <sz val="10"/>
      <color rgb="FF595959"/>
      <name val="Arial"/>
      <charset val="1"/>
    </font>
    <font>
      <b/>
      <sz val="10"/>
      <color rgb="FF1F3864"/>
      <name val="Arial"/>
      <charset val="1"/>
    </font>
    <font>
      <b/>
      <sz val="12"/>
      <color rgb="FFFFFFFF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10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2E86AB"/>
      </patternFill>
    </fill>
    <fill>
      <patternFill patternType="solid">
        <fgColor rgb="FFD6E4F0"/>
        <bgColor rgb="FFD9D9D9"/>
      </patternFill>
    </fill>
    <fill>
      <patternFill patternType="solid">
        <fgColor rgb="FFE67E22"/>
        <bgColor rgb="FFFF9900"/>
      </patternFill>
    </fill>
    <fill>
      <patternFill patternType="solid">
        <fgColor rgb="FFFEF9E7"/>
        <bgColor rgb="FFFFFFFF"/>
      </patternFill>
    </fill>
    <fill>
      <patternFill patternType="solid">
        <fgColor rgb="FF595959"/>
        <bgColor rgb="FF333333"/>
      </patternFill>
    </fill>
    <fill>
      <patternFill patternType="solid">
        <fgColor rgb="FFF2F2F2"/>
        <bgColor rgb="FFFEF9E7"/>
      </patternFill>
    </fill>
    <fill>
      <patternFill patternType="solid">
        <fgColor rgb="FFFFFFFF"/>
        <bgColor rgb="FFFEF9E7"/>
      </patternFill>
    </fill>
    <fill>
      <patternFill patternType="solid">
        <fgColor rgb="FF2E7D32"/>
        <bgColor rgb="FF0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6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center"/>
    </xf>
    <xf numFmtId="0" fontId="12" fillId="8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6" fillId="8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2" fontId="5" fillId="8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2" fontId="5" fillId="9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2" fontId="10" fillId="4" borderId="1" xfId="0" applyNumberFormat="1" applyFont="1" applyFill="1" applyBorder="1" applyAlignment="1">
      <alignment horizontal="center" vertical="center"/>
    </xf>
    <xf numFmtId="2" fontId="10" fillId="9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2" fontId="3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2" fontId="5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FBFBF"/>
      <rgbColor rgb="FF878787"/>
      <rgbColor rgb="FF9999FF"/>
      <rgbColor rgb="FFA23B72"/>
      <rgbColor rgb="FFFEF9E7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67E22"/>
      <rgbColor rgb="FF595959"/>
      <rgbColor rgb="FF969696"/>
      <rgbColor rgb="FF1F3864"/>
      <rgbColor rgb="FF2E86A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Real GDP Growth Rate (%) – India 2000–2022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Data'!$B$3</c:f>
              <c:strCache>
                <c:ptCount val="1"/>
                <c:pt idx="0">
                  <c:v>Real GDP Growth (%)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'Raw Data'!$A$4:$A$26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'Raw Data'!$B$4:$B$26</c:f>
              <c:numCache>
                <c:formatCode>0.00</c:formatCode>
                <c:ptCount val="23"/>
                <c:pt idx="0">
                  <c:v>4</c:v>
                </c:pt>
                <c:pt idx="1">
                  <c:v>4.8</c:v>
                </c:pt>
                <c:pt idx="2">
                  <c:v>3.9</c:v>
                </c:pt>
                <c:pt idx="3">
                  <c:v>7.9</c:v>
                </c:pt>
                <c:pt idx="4">
                  <c:v>7.9</c:v>
                </c:pt>
                <c:pt idx="5">
                  <c:v>9.3000000000000007</c:v>
                </c:pt>
                <c:pt idx="6">
                  <c:v>9.3000000000000007</c:v>
                </c:pt>
                <c:pt idx="7">
                  <c:v>9.8000000000000007</c:v>
                </c:pt>
                <c:pt idx="8">
                  <c:v>3.9</c:v>
                </c:pt>
                <c:pt idx="9">
                  <c:v>8.5</c:v>
                </c:pt>
                <c:pt idx="10">
                  <c:v>10.3</c:v>
                </c:pt>
                <c:pt idx="11">
                  <c:v>6.6</c:v>
                </c:pt>
                <c:pt idx="12">
                  <c:v>5.5</c:v>
                </c:pt>
                <c:pt idx="13">
                  <c:v>6.4</c:v>
                </c:pt>
                <c:pt idx="14">
                  <c:v>7.4</c:v>
                </c:pt>
                <c:pt idx="15">
                  <c:v>8</c:v>
                </c:pt>
                <c:pt idx="16">
                  <c:v>8.3000000000000007</c:v>
                </c:pt>
                <c:pt idx="17">
                  <c:v>6.8</c:v>
                </c:pt>
                <c:pt idx="18">
                  <c:v>6.5</c:v>
                </c:pt>
                <c:pt idx="19">
                  <c:v>3.7</c:v>
                </c:pt>
                <c:pt idx="20">
                  <c:v>-6.6</c:v>
                </c:pt>
                <c:pt idx="21">
                  <c:v>8.6999999999999993</c:v>
                </c:pt>
                <c:pt idx="22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70-4454-B30F-15C5D20D2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8347146"/>
        <c:axId val="28419361"/>
      </c:lineChart>
      <c:catAx>
        <c:axId val="483471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419361"/>
        <c:crosses val="autoZero"/>
        <c:auto val="1"/>
        <c:lblAlgn val="ctr"/>
        <c:lblOffset val="100"/>
        <c:noMultiLvlLbl val="0"/>
      </c:catAx>
      <c:valAx>
        <c:axId val="284193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GDP Growth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3471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Government Subsidies (% of GDP) – India 2000–2022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Data'!$C$3</c:f>
              <c:strCache>
                <c:ptCount val="1"/>
                <c:pt idx="0">
                  <c:v>Subsidies (% of GDP)</c:v>
                </c:pt>
              </c:strCache>
            </c:strRef>
          </c:tx>
          <c:spPr>
            <a:ln w="20160">
              <a:solidFill>
                <a:srgbClr val="E67E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'Raw Data'!$A$4:$A$26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'Raw Data'!$C$4:$C$26</c:f>
              <c:numCache>
                <c:formatCode>0.00</c:formatCode>
                <c:ptCount val="23"/>
                <c:pt idx="0">
                  <c:v>1.43</c:v>
                </c:pt>
                <c:pt idx="1">
                  <c:v>1.52</c:v>
                </c:pt>
                <c:pt idx="2">
                  <c:v>1.48</c:v>
                </c:pt>
                <c:pt idx="3">
                  <c:v>1.55</c:v>
                </c:pt>
                <c:pt idx="4">
                  <c:v>1.61</c:v>
                </c:pt>
                <c:pt idx="5">
                  <c:v>1.72</c:v>
                </c:pt>
                <c:pt idx="6">
                  <c:v>1.83</c:v>
                </c:pt>
                <c:pt idx="7">
                  <c:v>1.9</c:v>
                </c:pt>
                <c:pt idx="8">
                  <c:v>2.31</c:v>
                </c:pt>
                <c:pt idx="9">
                  <c:v>2.65</c:v>
                </c:pt>
                <c:pt idx="10">
                  <c:v>2.12</c:v>
                </c:pt>
                <c:pt idx="11">
                  <c:v>2.34</c:v>
                </c:pt>
                <c:pt idx="12">
                  <c:v>2.57</c:v>
                </c:pt>
                <c:pt idx="13">
                  <c:v>2.2999999999999998</c:v>
                </c:pt>
                <c:pt idx="14">
                  <c:v>2.0699999999999998</c:v>
                </c:pt>
                <c:pt idx="15">
                  <c:v>1.72</c:v>
                </c:pt>
                <c:pt idx="16">
                  <c:v>1.63</c:v>
                </c:pt>
                <c:pt idx="17">
                  <c:v>1.59</c:v>
                </c:pt>
                <c:pt idx="18">
                  <c:v>1.55</c:v>
                </c:pt>
                <c:pt idx="19">
                  <c:v>1.68</c:v>
                </c:pt>
                <c:pt idx="20">
                  <c:v>2.85</c:v>
                </c:pt>
                <c:pt idx="21">
                  <c:v>2.41</c:v>
                </c:pt>
                <c:pt idx="22">
                  <c:v>1.95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60-41ED-9AD3-FCEA346C6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4145496"/>
        <c:axId val="80621152"/>
      </c:lineChart>
      <c:catAx>
        <c:axId val="841454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621152"/>
        <c:crosses val="autoZero"/>
        <c:auto val="1"/>
        <c:lblAlgn val="ctr"/>
        <c:lblOffset val="100"/>
        <c:noMultiLvlLbl val="0"/>
      </c:catAx>
      <c:valAx>
        <c:axId val="806211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Subsidies (% of GDP)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1454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473040</xdr:colOff>
      <xdr:row>24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11</xdr:col>
      <xdr:colOff>473040</xdr:colOff>
      <xdr:row>43</xdr:row>
      <xdr:rowOff>128520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C39"/>
  <sheetViews>
    <sheetView showGridLines="0" tabSelected="1" zoomScaleNormal="100" workbookViewId="0">
      <selection sqref="A1:C3"/>
    </sheetView>
  </sheetViews>
  <sheetFormatPr defaultColWidth="8.6328125" defaultRowHeight="14.5" x14ac:dyDescent="0.35"/>
  <cols>
    <col min="1" max="1" width="5" customWidth="1"/>
    <col min="2" max="2" width="60" customWidth="1"/>
    <col min="3" max="3" width="25" customWidth="1"/>
  </cols>
  <sheetData>
    <row r="1" spans="1:3" ht="18" customHeight="1" x14ac:dyDescent="0.35">
      <c r="A1" s="14"/>
      <c r="B1" s="14"/>
      <c r="C1" s="14"/>
    </row>
    <row r="2" spans="1:3" ht="18" customHeight="1" x14ac:dyDescent="0.35">
      <c r="A2" s="14"/>
      <c r="B2" s="14"/>
      <c r="C2" s="14"/>
    </row>
    <row r="3" spans="1:3" ht="18" customHeight="1" x14ac:dyDescent="0.35">
      <c r="A3" s="14"/>
      <c r="B3" s="14"/>
      <c r="C3" s="14"/>
    </row>
    <row r="4" spans="1:3" ht="18" customHeight="1" x14ac:dyDescent="0.35">
      <c r="A4" s="14"/>
      <c r="B4" s="14"/>
      <c r="C4" s="14"/>
    </row>
    <row r="5" spans="1:3" ht="18" customHeight="1" x14ac:dyDescent="0.35">
      <c r="A5" s="13" t="s">
        <v>0</v>
      </c>
      <c r="B5" s="13"/>
      <c r="C5" s="13"/>
    </row>
    <row r="6" spans="1:3" ht="18" customHeight="1" x14ac:dyDescent="0.35">
      <c r="A6" s="13"/>
      <c r="B6" s="13"/>
      <c r="C6" s="13"/>
    </row>
    <row r="7" spans="1:3" ht="18" customHeight="1" x14ac:dyDescent="0.35">
      <c r="A7" s="13"/>
      <c r="B7" s="13"/>
      <c r="C7" s="13"/>
    </row>
    <row r="8" spans="1:3" ht="18" customHeight="1" x14ac:dyDescent="0.35">
      <c r="A8" s="13"/>
      <c r="B8" s="13"/>
      <c r="C8" s="13"/>
    </row>
    <row r="9" spans="1:3" ht="18" customHeight="1" x14ac:dyDescent="0.35">
      <c r="A9" s="13"/>
      <c r="B9" s="13"/>
      <c r="C9" s="13"/>
    </row>
    <row r="10" spans="1:3" ht="18" customHeight="1" x14ac:dyDescent="0.35">
      <c r="A10" s="12" t="s">
        <v>1</v>
      </c>
      <c r="B10" s="12"/>
      <c r="C10" s="12"/>
    </row>
    <row r="11" spans="1:3" ht="18" customHeight="1" x14ac:dyDescent="0.35">
      <c r="A11" s="14"/>
      <c r="B11" s="14"/>
      <c r="C11" s="14"/>
    </row>
    <row r="12" spans="1:3" ht="18" customHeight="1" x14ac:dyDescent="0.35">
      <c r="A12" s="14"/>
      <c r="B12" s="14"/>
      <c r="C12" s="14"/>
    </row>
    <row r="13" spans="1:3" ht="18" customHeight="1" x14ac:dyDescent="0.35"/>
    <row r="14" spans="1:3" ht="21.75" customHeight="1" x14ac:dyDescent="0.35">
      <c r="B14" s="11" t="s">
        <v>2</v>
      </c>
      <c r="C14" s="11"/>
    </row>
    <row r="15" spans="1:3" ht="69.75" customHeight="1" x14ac:dyDescent="0.35">
      <c r="B15" s="10" t="s">
        <v>3</v>
      </c>
      <c r="C15" s="10"/>
    </row>
    <row r="16" spans="1:3" ht="18" customHeight="1" x14ac:dyDescent="0.35">
      <c r="B16" s="10"/>
      <c r="C16" s="10"/>
    </row>
    <row r="17" spans="2:3" ht="18" customHeight="1" x14ac:dyDescent="0.35">
      <c r="B17" s="10"/>
      <c r="C17" s="10"/>
    </row>
    <row r="18" spans="2:3" ht="18" customHeight="1" x14ac:dyDescent="0.35">
      <c r="B18" s="10"/>
      <c r="C18" s="10"/>
    </row>
    <row r="19" spans="2:3" ht="18" customHeight="1" x14ac:dyDescent="0.35"/>
    <row r="20" spans="2:3" ht="21.75" customHeight="1" x14ac:dyDescent="0.35">
      <c r="B20" s="9" t="s">
        <v>4</v>
      </c>
      <c r="C20" s="9"/>
    </row>
    <row r="21" spans="2:3" ht="54.75" customHeight="1" x14ac:dyDescent="0.35">
      <c r="B21" s="8" t="s">
        <v>5</v>
      </c>
      <c r="C21" s="8"/>
    </row>
    <row r="22" spans="2:3" ht="18" customHeight="1" x14ac:dyDescent="0.35">
      <c r="B22" s="8"/>
      <c r="C22" s="8"/>
    </row>
    <row r="23" spans="2:3" ht="18" customHeight="1" x14ac:dyDescent="0.35">
      <c r="B23" s="8"/>
      <c r="C23" s="8"/>
    </row>
    <row r="24" spans="2:3" ht="18" customHeight="1" x14ac:dyDescent="0.35"/>
    <row r="25" spans="2:3" ht="21.75" customHeight="1" x14ac:dyDescent="0.35">
      <c r="B25" s="7" t="s">
        <v>6</v>
      </c>
      <c r="C25" s="7"/>
    </row>
    <row r="26" spans="2:3" ht="31.5" customHeight="1" x14ac:dyDescent="0.35">
      <c r="B26" s="15" t="s">
        <v>7</v>
      </c>
      <c r="C26" s="16" t="s">
        <v>8</v>
      </c>
    </row>
    <row r="27" spans="2:3" ht="31.5" customHeight="1" x14ac:dyDescent="0.35">
      <c r="B27" s="15" t="s">
        <v>9</v>
      </c>
      <c r="C27" s="16" t="s">
        <v>10</v>
      </c>
    </row>
    <row r="28" spans="2:3" ht="31.5" customHeight="1" x14ac:dyDescent="0.35">
      <c r="B28" s="15" t="s">
        <v>11</v>
      </c>
      <c r="C28" s="16" t="s">
        <v>12</v>
      </c>
    </row>
    <row r="29" spans="2:3" ht="31.5" customHeight="1" x14ac:dyDescent="0.35">
      <c r="B29" s="15" t="s">
        <v>13</v>
      </c>
      <c r="C29" s="16" t="s">
        <v>14</v>
      </c>
    </row>
    <row r="30" spans="2:3" ht="18" customHeight="1" x14ac:dyDescent="0.35"/>
    <row r="31" spans="2:3" ht="18" customHeight="1" x14ac:dyDescent="0.35"/>
    <row r="32" spans="2:3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</sheetData>
  <mergeCells count="10">
    <mergeCell ref="B14:C14"/>
    <mergeCell ref="B15:C18"/>
    <mergeCell ref="B20:C20"/>
    <mergeCell ref="B21:C23"/>
    <mergeCell ref="B25:C25"/>
    <mergeCell ref="A1:C3"/>
    <mergeCell ref="A4:C4"/>
    <mergeCell ref="A5:C9"/>
    <mergeCell ref="A10:C10"/>
    <mergeCell ref="A11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G26"/>
  <sheetViews>
    <sheetView showGridLines="0" zoomScaleNormal="100" workbookViewId="0">
      <selection sqref="A1:G1"/>
    </sheetView>
  </sheetViews>
  <sheetFormatPr defaultColWidth="8.6328125" defaultRowHeight="14.5" x14ac:dyDescent="0.35"/>
  <cols>
    <col min="1" max="1" width="8" customWidth="1"/>
    <col min="2" max="3" width="22" customWidth="1"/>
    <col min="4" max="4" width="28" customWidth="1"/>
    <col min="5" max="5" width="24" customWidth="1"/>
    <col min="6" max="6" width="22" customWidth="1"/>
    <col min="7" max="7" width="26" customWidth="1"/>
  </cols>
  <sheetData>
    <row r="1" spans="1:7" ht="27.75" customHeight="1" x14ac:dyDescent="0.35">
      <c r="A1" s="6" t="s">
        <v>15</v>
      </c>
      <c r="B1" s="6"/>
      <c r="C1" s="6"/>
      <c r="D1" s="6"/>
      <c r="E1" s="6"/>
      <c r="F1" s="6"/>
      <c r="G1" s="6"/>
    </row>
    <row r="2" spans="1:7" ht="15.75" customHeight="1" x14ac:dyDescent="0.35">
      <c r="A2" s="5" t="s">
        <v>16</v>
      </c>
      <c r="B2" s="5"/>
      <c r="C2" s="5"/>
      <c r="D2" s="5"/>
      <c r="E2" s="5"/>
      <c r="F2" s="5"/>
      <c r="G2" s="5"/>
    </row>
    <row r="3" spans="1:7" ht="39.75" customHeight="1" x14ac:dyDescent="0.35">
      <c r="A3" s="17" t="s">
        <v>17</v>
      </c>
      <c r="B3" s="17" t="s">
        <v>18</v>
      </c>
      <c r="C3" s="17" t="s">
        <v>19</v>
      </c>
      <c r="D3" s="17" t="s">
        <v>20</v>
      </c>
      <c r="E3" s="17" t="s">
        <v>21</v>
      </c>
      <c r="F3" s="17" t="s">
        <v>22</v>
      </c>
      <c r="G3" s="17" t="s">
        <v>23</v>
      </c>
    </row>
    <row r="4" spans="1:7" x14ac:dyDescent="0.35">
      <c r="A4" s="18">
        <v>2000</v>
      </c>
      <c r="B4" s="19">
        <v>4</v>
      </c>
      <c r="C4" s="19">
        <v>1.43</v>
      </c>
      <c r="D4" s="19">
        <v>24.3</v>
      </c>
      <c r="E4" s="19">
        <v>27.2</v>
      </c>
      <c r="F4" s="19">
        <v>5.7</v>
      </c>
      <c r="G4" s="19">
        <v>15.3</v>
      </c>
    </row>
    <row r="5" spans="1:7" x14ac:dyDescent="0.35">
      <c r="A5" s="20">
        <v>2001</v>
      </c>
      <c r="B5" s="21">
        <v>4.8</v>
      </c>
      <c r="C5" s="21">
        <v>1.52</v>
      </c>
      <c r="D5" s="21">
        <v>24.6</v>
      </c>
      <c r="E5" s="21">
        <v>26.4</v>
      </c>
      <c r="F5" s="21">
        <v>6.2</v>
      </c>
      <c r="G5" s="21">
        <v>15.1</v>
      </c>
    </row>
    <row r="6" spans="1:7" x14ac:dyDescent="0.35">
      <c r="A6" s="18">
        <v>2002</v>
      </c>
      <c r="B6" s="19">
        <v>3.9</v>
      </c>
      <c r="C6" s="19">
        <v>1.48</v>
      </c>
      <c r="D6" s="19">
        <v>25</v>
      </c>
      <c r="E6" s="19">
        <v>29.3</v>
      </c>
      <c r="F6" s="19">
        <v>5.9</v>
      </c>
      <c r="G6" s="19">
        <v>15</v>
      </c>
    </row>
    <row r="7" spans="1:7" x14ac:dyDescent="0.35">
      <c r="A7" s="20">
        <v>2003</v>
      </c>
      <c r="B7" s="21">
        <v>7.9</v>
      </c>
      <c r="C7" s="21">
        <v>1.55</v>
      </c>
      <c r="D7" s="21">
        <v>25.8</v>
      </c>
      <c r="E7" s="21">
        <v>30.5</v>
      </c>
      <c r="F7" s="21">
        <v>4.5</v>
      </c>
      <c r="G7" s="21">
        <v>15.3</v>
      </c>
    </row>
    <row r="8" spans="1:7" x14ac:dyDescent="0.35">
      <c r="A8" s="18">
        <v>2004</v>
      </c>
      <c r="B8" s="19">
        <v>7.9</v>
      </c>
      <c r="C8" s="19">
        <v>1.61</v>
      </c>
      <c r="D8" s="19">
        <v>28.7</v>
      </c>
      <c r="E8" s="19">
        <v>38</v>
      </c>
      <c r="F8" s="19">
        <v>3.9</v>
      </c>
      <c r="G8" s="19">
        <v>15.7</v>
      </c>
    </row>
    <row r="9" spans="1:7" x14ac:dyDescent="0.35">
      <c r="A9" s="20">
        <v>2005</v>
      </c>
      <c r="B9" s="21">
        <v>9.3000000000000007</v>
      </c>
      <c r="C9" s="21">
        <v>1.72</v>
      </c>
      <c r="D9" s="21">
        <v>32.5</v>
      </c>
      <c r="E9" s="21">
        <v>42.8</v>
      </c>
      <c r="F9" s="21">
        <v>4</v>
      </c>
      <c r="G9" s="21">
        <v>15.9</v>
      </c>
    </row>
    <row r="10" spans="1:7" x14ac:dyDescent="0.35">
      <c r="A10" s="18">
        <v>2006</v>
      </c>
      <c r="B10" s="19">
        <v>9.3000000000000007</v>
      </c>
      <c r="C10" s="19">
        <v>1.83</v>
      </c>
      <c r="D10" s="19">
        <v>34.299999999999997</v>
      </c>
      <c r="E10" s="19">
        <v>46.8</v>
      </c>
      <c r="F10" s="19">
        <v>3.3</v>
      </c>
      <c r="G10" s="19">
        <v>16</v>
      </c>
    </row>
    <row r="11" spans="1:7" x14ac:dyDescent="0.35">
      <c r="A11" s="20">
        <v>2007</v>
      </c>
      <c r="B11" s="21">
        <v>9.8000000000000007</v>
      </c>
      <c r="C11" s="21">
        <v>1.9</v>
      </c>
      <c r="D11" s="21">
        <v>36.200000000000003</v>
      </c>
      <c r="E11" s="21">
        <v>47.4</v>
      </c>
      <c r="F11" s="21">
        <v>2.5</v>
      </c>
      <c r="G11" s="21">
        <v>16.2</v>
      </c>
    </row>
    <row r="12" spans="1:7" x14ac:dyDescent="0.35">
      <c r="A12" s="18">
        <v>2008</v>
      </c>
      <c r="B12" s="19">
        <v>3.9</v>
      </c>
      <c r="C12" s="19">
        <v>2.31</v>
      </c>
      <c r="D12" s="19">
        <v>34.799999999999997</v>
      </c>
      <c r="E12" s="19">
        <v>53.1</v>
      </c>
      <c r="F12" s="19">
        <v>6</v>
      </c>
      <c r="G12" s="19">
        <v>15.8</v>
      </c>
    </row>
    <row r="13" spans="1:7" x14ac:dyDescent="0.35">
      <c r="A13" s="20">
        <v>2009</v>
      </c>
      <c r="B13" s="21">
        <v>8.5</v>
      </c>
      <c r="C13" s="21">
        <v>2.65</v>
      </c>
      <c r="D13" s="21">
        <v>35.6</v>
      </c>
      <c r="E13" s="21">
        <v>44.8</v>
      </c>
      <c r="F13" s="21">
        <v>6.5</v>
      </c>
      <c r="G13" s="21">
        <v>15.4</v>
      </c>
    </row>
    <row r="14" spans="1:7" x14ac:dyDescent="0.35">
      <c r="A14" s="18">
        <v>2010</v>
      </c>
      <c r="B14" s="19">
        <v>10.3</v>
      </c>
      <c r="C14" s="19">
        <v>2.12</v>
      </c>
      <c r="D14" s="19">
        <v>36.5</v>
      </c>
      <c r="E14" s="19">
        <v>47.4</v>
      </c>
      <c r="F14" s="19">
        <v>4.8</v>
      </c>
      <c r="G14" s="19">
        <v>15.6</v>
      </c>
    </row>
    <row r="15" spans="1:7" x14ac:dyDescent="0.35">
      <c r="A15" s="20">
        <v>2011</v>
      </c>
      <c r="B15" s="21">
        <v>6.6</v>
      </c>
      <c r="C15" s="21">
        <v>2.34</v>
      </c>
      <c r="D15" s="21">
        <v>36.799999999999997</v>
      </c>
      <c r="E15" s="21">
        <v>55.7</v>
      </c>
      <c r="F15" s="21">
        <v>5.9</v>
      </c>
      <c r="G15" s="21">
        <v>15.4</v>
      </c>
    </row>
    <row r="16" spans="1:7" x14ac:dyDescent="0.35">
      <c r="A16" s="18">
        <v>2012</v>
      </c>
      <c r="B16" s="19">
        <v>5.5</v>
      </c>
      <c r="C16" s="19">
        <v>2.57</v>
      </c>
      <c r="D16" s="19">
        <v>34.799999999999997</v>
      </c>
      <c r="E16" s="19">
        <v>55.5</v>
      </c>
      <c r="F16" s="19">
        <v>4.9000000000000004</v>
      </c>
      <c r="G16" s="19">
        <v>14.9</v>
      </c>
    </row>
    <row r="17" spans="1:7" x14ac:dyDescent="0.35">
      <c r="A17" s="20">
        <v>2013</v>
      </c>
      <c r="B17" s="21">
        <v>6.4</v>
      </c>
      <c r="C17" s="21">
        <v>2.2999999999999998</v>
      </c>
      <c r="D17" s="21">
        <v>31.5</v>
      </c>
      <c r="E17" s="21">
        <v>54.1</v>
      </c>
      <c r="F17" s="21">
        <v>4.5999999999999996</v>
      </c>
      <c r="G17" s="21">
        <v>14.8</v>
      </c>
    </row>
    <row r="18" spans="1:7" x14ac:dyDescent="0.35">
      <c r="A18" s="18">
        <v>2014</v>
      </c>
      <c r="B18" s="19">
        <v>7.4</v>
      </c>
      <c r="C18" s="19">
        <v>2.0699999999999998</v>
      </c>
      <c r="D18" s="19">
        <v>30.3</v>
      </c>
      <c r="E18" s="19">
        <v>49.3</v>
      </c>
      <c r="F18" s="19">
        <v>4</v>
      </c>
      <c r="G18" s="19">
        <v>14.9</v>
      </c>
    </row>
    <row r="19" spans="1:7" x14ac:dyDescent="0.35">
      <c r="A19" s="20">
        <v>2015</v>
      </c>
      <c r="B19" s="21">
        <v>8</v>
      </c>
      <c r="C19" s="21">
        <v>1.72</v>
      </c>
      <c r="D19" s="21">
        <v>30.6</v>
      </c>
      <c r="E19" s="21">
        <v>41.6</v>
      </c>
      <c r="F19" s="21">
        <v>3.5</v>
      </c>
      <c r="G19" s="21">
        <v>15</v>
      </c>
    </row>
    <row r="20" spans="1:7" x14ac:dyDescent="0.35">
      <c r="A20" s="18">
        <v>2016</v>
      </c>
      <c r="B20" s="19">
        <v>8.3000000000000007</v>
      </c>
      <c r="C20" s="19">
        <v>1.63</v>
      </c>
      <c r="D20" s="19">
        <v>30.3</v>
      </c>
      <c r="E20" s="19">
        <v>40.700000000000003</v>
      </c>
      <c r="F20" s="19">
        <v>3.5</v>
      </c>
      <c r="G20" s="19">
        <v>14.8</v>
      </c>
    </row>
    <row r="21" spans="1:7" x14ac:dyDescent="0.35">
      <c r="A21" s="20">
        <v>2017</v>
      </c>
      <c r="B21" s="21">
        <v>6.8</v>
      </c>
      <c r="C21" s="21">
        <v>1.59</v>
      </c>
      <c r="D21" s="21">
        <v>30.8</v>
      </c>
      <c r="E21" s="21">
        <v>40.6</v>
      </c>
      <c r="F21" s="21">
        <v>3.5</v>
      </c>
      <c r="G21" s="21">
        <v>14.6</v>
      </c>
    </row>
    <row r="22" spans="1:7" x14ac:dyDescent="0.35">
      <c r="A22" s="18">
        <v>2018</v>
      </c>
      <c r="B22" s="19">
        <v>6.5</v>
      </c>
      <c r="C22" s="19">
        <v>1.55</v>
      </c>
      <c r="D22" s="19">
        <v>31.3</v>
      </c>
      <c r="E22" s="19">
        <v>43</v>
      </c>
      <c r="F22" s="19">
        <v>3.4</v>
      </c>
      <c r="G22" s="19">
        <v>14.4</v>
      </c>
    </row>
    <row r="23" spans="1:7" x14ac:dyDescent="0.35">
      <c r="A23" s="20">
        <v>2019</v>
      </c>
      <c r="B23" s="21">
        <v>3.7</v>
      </c>
      <c r="C23" s="21">
        <v>1.68</v>
      </c>
      <c r="D23" s="21">
        <v>29.5</v>
      </c>
      <c r="E23" s="21">
        <v>39.799999999999997</v>
      </c>
      <c r="F23" s="21">
        <v>3.8</v>
      </c>
      <c r="G23" s="21">
        <v>13.7</v>
      </c>
    </row>
    <row r="24" spans="1:7" x14ac:dyDescent="0.35">
      <c r="A24" s="18">
        <v>2020</v>
      </c>
      <c r="B24" s="19">
        <v>-6.6</v>
      </c>
      <c r="C24" s="19">
        <v>2.85</v>
      </c>
      <c r="D24" s="19">
        <v>26.8</v>
      </c>
      <c r="E24" s="19">
        <v>37.1</v>
      </c>
      <c r="F24" s="19">
        <v>9.1999999999999993</v>
      </c>
      <c r="G24" s="19">
        <v>13.1</v>
      </c>
    </row>
    <row r="25" spans="1:7" x14ac:dyDescent="0.35">
      <c r="A25" s="20">
        <v>2021</v>
      </c>
      <c r="B25" s="21">
        <v>8.6999999999999993</v>
      </c>
      <c r="C25" s="21">
        <v>2.41</v>
      </c>
      <c r="D25" s="21">
        <v>28.5</v>
      </c>
      <c r="E25" s="21">
        <v>42.8</v>
      </c>
      <c r="F25" s="21">
        <v>6.7</v>
      </c>
      <c r="G25" s="21">
        <v>13.4</v>
      </c>
    </row>
    <row r="26" spans="1:7" ht="18" customHeight="1" x14ac:dyDescent="0.35">
      <c r="A26" s="18">
        <v>2022</v>
      </c>
      <c r="B26" s="19">
        <v>7</v>
      </c>
      <c r="C26" s="19">
        <v>1.95</v>
      </c>
      <c r="D26" s="19">
        <v>30.5</v>
      </c>
      <c r="E26" s="19">
        <v>48.8</v>
      </c>
      <c r="F26" s="19">
        <v>6.4</v>
      </c>
      <c r="G26" s="19">
        <v>13.9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6AB"/>
  </sheetPr>
  <dimension ref="A1:G13"/>
  <sheetViews>
    <sheetView showGridLines="0" zoomScaleNormal="100" workbookViewId="0">
      <selection sqref="A1:G1"/>
    </sheetView>
  </sheetViews>
  <sheetFormatPr defaultColWidth="8.6328125" defaultRowHeight="14.5" x14ac:dyDescent="0.35"/>
  <cols>
    <col min="1" max="1" width="32" customWidth="1"/>
    <col min="2" max="7" width="18" customWidth="1"/>
  </cols>
  <sheetData>
    <row r="1" spans="1:7" ht="27.75" customHeight="1" x14ac:dyDescent="0.35">
      <c r="A1" s="6" t="s">
        <v>24</v>
      </c>
      <c r="B1" s="6"/>
      <c r="C1" s="6"/>
      <c r="D1" s="6"/>
      <c r="E1" s="6"/>
      <c r="F1" s="6"/>
      <c r="G1" s="6"/>
    </row>
    <row r="3" spans="1:7" ht="36" customHeight="1" x14ac:dyDescent="0.35">
      <c r="A3" s="17" t="s">
        <v>25</v>
      </c>
      <c r="B3" s="17" t="s">
        <v>26</v>
      </c>
      <c r="C3" s="17" t="s">
        <v>27</v>
      </c>
      <c r="D3" s="17" t="s">
        <v>28</v>
      </c>
      <c r="E3" s="17" t="s">
        <v>29</v>
      </c>
      <c r="F3" s="17" t="s">
        <v>30</v>
      </c>
      <c r="G3" s="17" t="s">
        <v>31</v>
      </c>
    </row>
    <row r="4" spans="1:7" ht="19.5" customHeight="1" x14ac:dyDescent="0.35">
      <c r="A4" s="22" t="s">
        <v>32</v>
      </c>
      <c r="B4" s="23">
        <f>AVERAGE('Raw Data'!B4:B26)</f>
        <v>6.4304347826086943</v>
      </c>
      <c r="C4" s="23">
        <f>AVERAGE('Raw Data'!C4:C26)</f>
        <v>1.9469565217391305</v>
      </c>
      <c r="D4" s="23">
        <f>AVERAGE('Raw Data'!D4:D26)</f>
        <v>30.869565217391301</v>
      </c>
      <c r="E4" s="23">
        <f>AVERAGE('Raw Data'!E4:E26)</f>
        <v>42.726086956521733</v>
      </c>
      <c r="F4" s="23">
        <f>AVERAGE('Raw Data'!F4:F26)</f>
        <v>4.9000000000000004</v>
      </c>
      <c r="G4" s="23">
        <f>AVERAGE('Raw Data'!G4:G26)</f>
        <v>14.965217391304348</v>
      </c>
    </row>
    <row r="5" spans="1:7" ht="19.5" customHeight="1" x14ac:dyDescent="0.35">
      <c r="A5" s="22" t="s">
        <v>33</v>
      </c>
      <c r="B5" s="24">
        <f>MEDIAN('Raw Data'!B4:B26)</f>
        <v>7</v>
      </c>
      <c r="C5" s="24">
        <f>MEDIAN('Raw Data'!C4:C26)</f>
        <v>1.83</v>
      </c>
      <c r="D5" s="24">
        <f>MEDIAN('Raw Data'!D4:D26)</f>
        <v>30.6</v>
      </c>
      <c r="E5" s="24">
        <f>MEDIAN('Raw Data'!E4:E26)</f>
        <v>42.8</v>
      </c>
      <c r="F5" s="24">
        <f>MEDIAN('Raw Data'!F4:F26)</f>
        <v>4.5999999999999996</v>
      </c>
      <c r="G5" s="24">
        <f>MEDIAN('Raw Data'!G4:G26)</f>
        <v>15</v>
      </c>
    </row>
    <row r="6" spans="1:7" ht="19.5" customHeight="1" x14ac:dyDescent="0.35">
      <c r="A6" s="22" t="s">
        <v>34</v>
      </c>
      <c r="B6" s="23">
        <f>STDEV('Raw Data'!B4:B26)</f>
        <v>3.4603513724119659</v>
      </c>
      <c r="C6" s="23">
        <f>STDEV('Raw Data'!C4:C26)</f>
        <v>0.42010209562794071</v>
      </c>
      <c r="D6" s="23">
        <f>STDEV('Raw Data'!D4:D26)</f>
        <v>3.9069209898017703</v>
      </c>
      <c r="E6" s="23">
        <f>STDEV('Raw Data'!E4:E26)</f>
        <v>8.5892224958377099</v>
      </c>
      <c r="F6" s="23">
        <f>STDEV('Raw Data'!F4:F26)</f>
        <v>1.5465504136038315</v>
      </c>
      <c r="G6" s="23">
        <f>STDEV('Raw Data'!G4:G26)</f>
        <v>0.82330194154788783</v>
      </c>
    </row>
    <row r="7" spans="1:7" ht="19.5" customHeight="1" x14ac:dyDescent="0.35">
      <c r="A7" s="22" t="s">
        <v>35</v>
      </c>
      <c r="B7" s="24">
        <f>MIN('Raw Data'!B4:B26)</f>
        <v>-6.6</v>
      </c>
      <c r="C7" s="24">
        <f>MIN('Raw Data'!C4:C26)</f>
        <v>1.43</v>
      </c>
      <c r="D7" s="24">
        <f>MIN('Raw Data'!D4:D26)</f>
        <v>24.3</v>
      </c>
      <c r="E7" s="24">
        <f>MIN('Raw Data'!E4:E26)</f>
        <v>26.4</v>
      </c>
      <c r="F7" s="24">
        <f>MIN('Raw Data'!F4:F26)</f>
        <v>2.5</v>
      </c>
      <c r="G7" s="24">
        <f>MIN('Raw Data'!G4:G26)</f>
        <v>13.1</v>
      </c>
    </row>
    <row r="8" spans="1:7" ht="19.5" customHeight="1" x14ac:dyDescent="0.35">
      <c r="A8" s="22" t="s">
        <v>36</v>
      </c>
      <c r="B8" s="23">
        <f>MAX('Raw Data'!B4:B26)</f>
        <v>10.3</v>
      </c>
      <c r="C8" s="23">
        <f>MAX('Raw Data'!C4:C26)</f>
        <v>2.85</v>
      </c>
      <c r="D8" s="23">
        <f>MAX('Raw Data'!D4:D26)</f>
        <v>36.799999999999997</v>
      </c>
      <c r="E8" s="23">
        <f>MAX('Raw Data'!E4:E26)</f>
        <v>55.7</v>
      </c>
      <c r="F8" s="23">
        <f>MAX('Raw Data'!F4:F26)</f>
        <v>9.1999999999999993</v>
      </c>
      <c r="G8" s="23">
        <f>MAX('Raw Data'!G4:G26)</f>
        <v>16.2</v>
      </c>
    </row>
    <row r="9" spans="1:7" ht="19.5" customHeight="1" x14ac:dyDescent="0.35">
      <c r="A9" s="22" t="s">
        <v>37</v>
      </c>
      <c r="B9" s="24">
        <f>MAX('Raw Data'!B4:B26)-MIN('Raw Data'!B4:B26)</f>
        <v>16.899999999999999</v>
      </c>
      <c r="C9" s="24">
        <f>MAX('Raw Data'!C4:C26)-MIN('Raw Data'!C4:C26)</f>
        <v>1.4200000000000002</v>
      </c>
      <c r="D9" s="24">
        <f>MAX('Raw Data'!D4:D26)-MIN('Raw Data'!D4:D26)</f>
        <v>12.499999999999996</v>
      </c>
      <c r="E9" s="24">
        <f>MAX('Raw Data'!E4:E26)-MIN('Raw Data'!E4:E26)</f>
        <v>29.300000000000004</v>
      </c>
      <c r="F9" s="24">
        <f>MAX('Raw Data'!F4:F26)-MIN('Raw Data'!F4:F26)</f>
        <v>6.6999999999999993</v>
      </c>
      <c r="G9" s="24">
        <f>MAX('Raw Data'!G4:G26)-MIN('Raw Data'!G4:G26)</f>
        <v>3.0999999999999996</v>
      </c>
    </row>
    <row r="10" spans="1:7" ht="19.5" customHeight="1" x14ac:dyDescent="0.35">
      <c r="A10" s="22" t="s">
        <v>38</v>
      </c>
      <c r="B10" s="23">
        <f>COUNT('Raw Data'!B4:B26)</f>
        <v>23</v>
      </c>
      <c r="C10" s="23">
        <f>COUNT('Raw Data'!C4:C26)</f>
        <v>23</v>
      </c>
      <c r="D10" s="23">
        <f>COUNT('Raw Data'!D4:D26)</f>
        <v>23</v>
      </c>
      <c r="E10" s="23">
        <f>COUNT('Raw Data'!E4:E26)</f>
        <v>23</v>
      </c>
      <c r="F10" s="23">
        <f>COUNT('Raw Data'!F4:F26)</f>
        <v>23</v>
      </c>
      <c r="G10" s="23">
        <f>COUNT('Raw Data'!G4:G26)</f>
        <v>23</v>
      </c>
    </row>
    <row r="13" spans="1:7" ht="54.75" customHeight="1" x14ac:dyDescent="0.35">
      <c r="A13" s="4" t="s">
        <v>39</v>
      </c>
      <c r="B13" s="4"/>
      <c r="C13" s="4"/>
      <c r="D13" s="4"/>
      <c r="E13" s="4"/>
      <c r="F13" s="4"/>
      <c r="G13" s="4"/>
    </row>
  </sheetData>
  <mergeCells count="2">
    <mergeCell ref="A1:G1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23B72"/>
  </sheetPr>
  <dimension ref="A1:G12"/>
  <sheetViews>
    <sheetView showGridLines="0" zoomScaleNormal="100" workbookViewId="0">
      <selection sqref="A1:G1"/>
    </sheetView>
  </sheetViews>
  <sheetFormatPr defaultColWidth="8.6328125" defaultRowHeight="14.5" x14ac:dyDescent="0.35"/>
  <cols>
    <col min="1" max="1" width="28" customWidth="1"/>
    <col min="2" max="7" width="20" customWidth="1"/>
  </cols>
  <sheetData>
    <row r="1" spans="1:7" ht="27.75" customHeight="1" x14ac:dyDescent="0.35">
      <c r="A1" s="6" t="s">
        <v>40</v>
      </c>
      <c r="B1" s="6"/>
      <c r="C1" s="6"/>
      <c r="D1" s="6"/>
      <c r="E1" s="6"/>
      <c r="F1" s="6"/>
      <c r="G1" s="6"/>
    </row>
    <row r="3" spans="1:7" ht="39.75" customHeight="1" x14ac:dyDescent="0.35">
      <c r="A3" s="25" t="s">
        <v>41</v>
      </c>
      <c r="B3" s="26" t="s">
        <v>26</v>
      </c>
      <c r="C3" s="26" t="s">
        <v>27</v>
      </c>
      <c r="D3" s="26" t="s">
        <v>28</v>
      </c>
      <c r="E3" s="26" t="s">
        <v>29</v>
      </c>
      <c r="F3" s="26" t="s">
        <v>30</v>
      </c>
      <c r="G3" s="26" t="s">
        <v>31</v>
      </c>
    </row>
    <row r="4" spans="1:7" ht="36" customHeight="1" x14ac:dyDescent="0.35">
      <c r="A4" s="27" t="s">
        <v>26</v>
      </c>
      <c r="B4" s="28">
        <v>1</v>
      </c>
      <c r="C4" s="24">
        <f>CORREL('Raw Data'!B4:B26,'Raw Data'!C4:C26)</f>
        <v>-0.29335376170445487</v>
      </c>
      <c r="D4" s="23">
        <f>CORREL('Raw Data'!B4:B26,'Raw Data'!D4:D26)</f>
        <v>0.44041789512568796</v>
      </c>
      <c r="E4" s="24">
        <f>CORREL('Raw Data'!B4:B26,'Raw Data'!E4:E26)</f>
        <v>0.26326277345124366</v>
      </c>
      <c r="F4" s="23">
        <f>CORREL('Raw Data'!B4:B26,'Raw Data'!F4:F26)</f>
        <v>-0.66241774469799009</v>
      </c>
      <c r="G4" s="24">
        <f>CORREL('Raw Data'!B4:B26,'Raw Data'!G4:G26)</f>
        <v>0.55450711434227584</v>
      </c>
    </row>
    <row r="5" spans="1:7" ht="36" customHeight="1" x14ac:dyDescent="0.35">
      <c r="A5" s="27" t="s">
        <v>27</v>
      </c>
      <c r="B5" s="24">
        <f>CORREL('Raw Data'!C4:C26,'Raw Data'!B4:B26)</f>
        <v>-0.29335376170445487</v>
      </c>
      <c r="C5" s="28">
        <v>1</v>
      </c>
      <c r="D5" s="24">
        <f>CORREL('Raw Data'!C4:C26,'Raw Data'!D4:D26)</f>
        <v>0.46755650959329459</v>
      </c>
      <c r="E5" s="23">
        <f>CORREL('Raw Data'!C4:C26,'Raw Data'!E4:E26)</f>
        <v>0.60737684359239563</v>
      </c>
      <c r="F5" s="24">
        <f>CORREL('Raw Data'!C4:C26,'Raw Data'!F4:F26)</f>
        <v>0.56801647341616524</v>
      </c>
      <c r="G5" s="23">
        <f>CORREL('Raw Data'!C4:C26,'Raw Data'!G4:G26)</f>
        <v>-0.25120184004974044</v>
      </c>
    </row>
    <row r="6" spans="1:7" ht="36" customHeight="1" x14ac:dyDescent="0.35">
      <c r="A6" s="27" t="s">
        <v>28</v>
      </c>
      <c r="B6" s="23">
        <f>CORREL('Raw Data'!D4:D26,'Raw Data'!B4:B26)</f>
        <v>0.44041789512568796</v>
      </c>
      <c r="C6" s="24">
        <f>CORREL('Raw Data'!D4:D26,'Raw Data'!C4:C26)</f>
        <v>0.46755650959329459</v>
      </c>
      <c r="D6" s="28">
        <v>1</v>
      </c>
      <c r="E6" s="24">
        <f>CORREL('Raw Data'!D4:D26,'Raw Data'!E4:E26)</f>
        <v>0.85076480257448428</v>
      </c>
      <c r="F6" s="23">
        <f>CORREL('Raw Data'!D4:D26,'Raw Data'!F4:F26)</f>
        <v>-0.28157781614111838</v>
      </c>
      <c r="G6" s="24">
        <f>CORREL('Raw Data'!D4:D26,'Raw Data'!G4:G26)</f>
        <v>0.41794379428949607</v>
      </c>
    </row>
    <row r="7" spans="1:7" ht="36" customHeight="1" x14ac:dyDescent="0.35">
      <c r="A7" s="27" t="s">
        <v>29</v>
      </c>
      <c r="B7" s="24">
        <f>CORREL('Raw Data'!E4:E26,'Raw Data'!B4:B26)</f>
        <v>0.26326277345124366</v>
      </c>
      <c r="C7" s="23">
        <f>CORREL('Raw Data'!E4:E26,'Raw Data'!C4:C26)</f>
        <v>0.60737684359239563</v>
      </c>
      <c r="D7" s="24">
        <f>CORREL('Raw Data'!E4:E26,'Raw Data'!D4:D26)</f>
        <v>0.85076480257448428</v>
      </c>
      <c r="E7" s="28">
        <v>1</v>
      </c>
      <c r="F7" s="24">
        <f>CORREL('Raw Data'!E4:E26,'Raw Data'!F4:F26)</f>
        <v>-0.14405935987548743</v>
      </c>
      <c r="G7" s="23">
        <f>CORREL('Raw Data'!E4:E26,'Raw Data'!G4:G26)</f>
        <v>0.11686352387425143</v>
      </c>
    </row>
    <row r="8" spans="1:7" ht="36" customHeight="1" x14ac:dyDescent="0.35">
      <c r="A8" s="27" t="s">
        <v>30</v>
      </c>
      <c r="B8" s="23">
        <f>CORREL('Raw Data'!F4:F26,'Raw Data'!B4:B26)</f>
        <v>-0.66241774469799009</v>
      </c>
      <c r="C8" s="24">
        <f>CORREL('Raw Data'!F4:F26,'Raw Data'!C4:C26)</f>
        <v>0.56801647341616524</v>
      </c>
      <c r="D8" s="23">
        <f>CORREL('Raw Data'!F4:F26,'Raw Data'!D4:D26)</f>
        <v>-0.28157781614111838</v>
      </c>
      <c r="E8" s="24">
        <f>CORREL('Raw Data'!F4:F26,'Raw Data'!E4:E26)</f>
        <v>-0.14405935987548743</v>
      </c>
      <c r="F8" s="28">
        <v>1</v>
      </c>
      <c r="G8" s="24">
        <f>CORREL('Raw Data'!F4:F26,'Raw Data'!G4:G26)</f>
        <v>-0.4733666116148349</v>
      </c>
    </row>
    <row r="9" spans="1:7" ht="36" customHeight="1" x14ac:dyDescent="0.35">
      <c r="A9" s="27" t="s">
        <v>31</v>
      </c>
      <c r="B9" s="24">
        <f>CORREL('Raw Data'!G4:G26,'Raw Data'!B4:B26)</f>
        <v>0.55450711434227584</v>
      </c>
      <c r="C9" s="23">
        <f>CORREL('Raw Data'!G4:G26,'Raw Data'!C4:C26)</f>
        <v>-0.25120184004974044</v>
      </c>
      <c r="D9" s="24">
        <f>CORREL('Raw Data'!G4:G26,'Raw Data'!D4:D26)</f>
        <v>0.41794379428949607</v>
      </c>
      <c r="E9" s="23">
        <f>CORREL('Raw Data'!G4:G26,'Raw Data'!E4:E26)</f>
        <v>0.11686352387425143</v>
      </c>
      <c r="F9" s="24">
        <f>CORREL('Raw Data'!G4:G26,'Raw Data'!F4:F26)</f>
        <v>-0.4733666116148349</v>
      </c>
      <c r="G9" s="28">
        <v>1</v>
      </c>
    </row>
    <row r="12" spans="1:7" ht="60" customHeight="1" x14ac:dyDescent="0.35">
      <c r="A12" s="4" t="s">
        <v>42</v>
      </c>
      <c r="B12" s="4"/>
      <c r="C12" s="4"/>
      <c r="D12" s="4"/>
      <c r="E12" s="4"/>
      <c r="F12" s="4"/>
      <c r="G12" s="4"/>
    </row>
  </sheetData>
  <mergeCells count="2">
    <mergeCell ref="A1:G1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E30"/>
  <sheetViews>
    <sheetView showGridLines="0" zoomScaleNormal="100" workbookViewId="0">
      <selection sqref="A1:E1"/>
    </sheetView>
  </sheetViews>
  <sheetFormatPr defaultColWidth="8.6328125" defaultRowHeight="14.5" x14ac:dyDescent="0.35"/>
  <cols>
    <col min="1" max="1" width="32" customWidth="1"/>
    <col min="2" max="5" width="20" customWidth="1"/>
  </cols>
  <sheetData>
    <row r="1" spans="1:5" ht="27.75" customHeight="1" x14ac:dyDescent="0.35">
      <c r="A1" s="6" t="s">
        <v>43</v>
      </c>
      <c r="B1" s="6"/>
      <c r="C1" s="6"/>
      <c r="D1" s="6"/>
      <c r="E1" s="6"/>
    </row>
    <row r="2" spans="1:5" ht="34.5" customHeight="1" x14ac:dyDescent="0.35">
      <c r="A2" s="3" t="s">
        <v>44</v>
      </c>
      <c r="B2" s="3"/>
      <c r="C2" s="3"/>
      <c r="D2" s="3"/>
      <c r="E2" s="3"/>
    </row>
    <row r="3" spans="1:5" ht="4.5" customHeight="1" x14ac:dyDescent="0.35">
      <c r="A3" s="3"/>
      <c r="B3" s="3"/>
      <c r="C3" s="3"/>
      <c r="D3" s="3"/>
      <c r="E3" s="3"/>
    </row>
    <row r="5" spans="1:5" ht="30" customHeight="1" x14ac:dyDescent="0.35">
      <c r="A5" s="17" t="s">
        <v>45</v>
      </c>
      <c r="B5" s="17" t="s">
        <v>46</v>
      </c>
      <c r="C5" s="17" t="s">
        <v>47</v>
      </c>
      <c r="D5" s="17" t="s">
        <v>48</v>
      </c>
      <c r="E5" s="17" t="s">
        <v>49</v>
      </c>
    </row>
    <row r="6" spans="1:5" ht="36" customHeight="1" x14ac:dyDescent="0.35">
      <c r="A6" s="29" t="s">
        <v>50</v>
      </c>
      <c r="B6" s="30">
        <v>-8.42</v>
      </c>
      <c r="C6" s="30">
        <v>4.3099999999999996</v>
      </c>
      <c r="D6" s="30">
        <v>-1.95</v>
      </c>
      <c r="E6" s="31" t="s">
        <v>51</v>
      </c>
    </row>
    <row r="7" spans="1:5" ht="36" customHeight="1" x14ac:dyDescent="0.35">
      <c r="A7" s="32" t="s">
        <v>52</v>
      </c>
      <c r="B7" s="33">
        <v>-1.83</v>
      </c>
      <c r="C7" s="33">
        <v>0.74</v>
      </c>
      <c r="D7" s="33">
        <v>-2.4700000000000002</v>
      </c>
      <c r="E7" s="34" t="s">
        <v>53</v>
      </c>
    </row>
    <row r="8" spans="1:5" ht="36" customHeight="1" x14ac:dyDescent="0.35">
      <c r="A8" s="29" t="s">
        <v>54</v>
      </c>
      <c r="B8" s="30">
        <v>0.51</v>
      </c>
      <c r="C8" s="30">
        <v>0.16</v>
      </c>
      <c r="D8" s="30">
        <v>3.19</v>
      </c>
      <c r="E8" s="31" t="s">
        <v>55</v>
      </c>
    </row>
    <row r="9" spans="1:5" ht="36" customHeight="1" x14ac:dyDescent="0.35">
      <c r="A9" s="32" t="s">
        <v>56</v>
      </c>
      <c r="B9" s="33">
        <v>0.14000000000000001</v>
      </c>
      <c r="C9" s="33">
        <v>7.0000000000000007E-2</v>
      </c>
      <c r="D9" s="33">
        <v>2</v>
      </c>
      <c r="E9" s="34" t="s">
        <v>57</v>
      </c>
    </row>
    <row r="11" spans="1:5" ht="21.75" customHeight="1" x14ac:dyDescent="0.35">
      <c r="A11" s="2" t="s">
        <v>58</v>
      </c>
      <c r="B11" s="2"/>
    </row>
    <row r="12" spans="1:5" ht="19.5" customHeight="1" x14ac:dyDescent="0.35">
      <c r="A12" s="35" t="s">
        <v>59</v>
      </c>
      <c r="B12" s="36" t="s">
        <v>60</v>
      </c>
    </row>
    <row r="13" spans="1:5" ht="19.5" customHeight="1" x14ac:dyDescent="0.35">
      <c r="A13" s="37" t="s">
        <v>61</v>
      </c>
      <c r="B13" s="38" t="s">
        <v>62</v>
      </c>
    </row>
    <row r="14" spans="1:5" ht="19.5" customHeight="1" x14ac:dyDescent="0.35">
      <c r="A14" s="35" t="s">
        <v>63</v>
      </c>
      <c r="B14" s="36" t="s">
        <v>64</v>
      </c>
    </row>
    <row r="15" spans="1:5" ht="19.5" customHeight="1" x14ac:dyDescent="0.35">
      <c r="A15" s="37" t="s">
        <v>65</v>
      </c>
      <c r="B15" s="38" t="s">
        <v>66</v>
      </c>
    </row>
    <row r="16" spans="1:5" ht="19.5" customHeight="1" x14ac:dyDescent="0.35">
      <c r="A16" s="35" t="s">
        <v>67</v>
      </c>
      <c r="B16" s="36" t="s">
        <v>68</v>
      </c>
    </row>
    <row r="17" spans="1:5" ht="19.5" customHeight="1" x14ac:dyDescent="0.35">
      <c r="A17" s="37" t="s">
        <v>69</v>
      </c>
      <c r="B17" s="38" t="s">
        <v>70</v>
      </c>
    </row>
    <row r="19" spans="1:5" ht="21.75" customHeight="1" x14ac:dyDescent="0.35">
      <c r="A19" s="9" t="s">
        <v>71</v>
      </c>
      <c r="B19" s="9"/>
      <c r="C19" s="9"/>
      <c r="D19" s="9"/>
      <c r="E19" s="9"/>
    </row>
    <row r="20" spans="1:5" ht="109.5" customHeight="1" x14ac:dyDescent="0.35">
      <c r="A20" s="1" t="s">
        <v>72</v>
      </c>
      <c r="B20" s="1"/>
      <c r="C20" s="1"/>
      <c r="D20" s="1"/>
      <c r="E20" s="1"/>
    </row>
    <row r="21" spans="1:5" x14ac:dyDescent="0.35">
      <c r="A21" s="1"/>
      <c r="B21" s="1"/>
      <c r="C21" s="1"/>
      <c r="D21" s="1"/>
      <c r="E21" s="1"/>
    </row>
    <row r="22" spans="1:5" x14ac:dyDescent="0.35">
      <c r="A22" s="1"/>
      <c r="B22" s="1"/>
      <c r="C22" s="1"/>
      <c r="D22" s="1"/>
      <c r="E22" s="1"/>
    </row>
    <row r="23" spans="1:5" x14ac:dyDescent="0.35">
      <c r="A23" s="1"/>
      <c r="B23" s="1"/>
      <c r="C23" s="1"/>
      <c r="D23" s="1"/>
      <c r="E23" s="1"/>
    </row>
    <row r="30" spans="1:5" x14ac:dyDescent="0.35">
      <c r="A30">
        <f>LINEST('Raw Data'!B4:B26,'Raw Data'!C4:E26,TRUE(),TRUE())</f>
        <v>4.1194711319228555E-2</v>
      </c>
    </row>
  </sheetData>
  <mergeCells count="5">
    <mergeCell ref="A1:E1"/>
    <mergeCell ref="A2:E3"/>
    <mergeCell ref="A11:B11"/>
    <mergeCell ref="A19:E19"/>
    <mergeCell ref="A20:E2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D32"/>
  </sheetPr>
  <dimension ref="A1:N1"/>
  <sheetViews>
    <sheetView showGridLines="0" zoomScaleNormal="100" workbookViewId="0">
      <selection sqref="A1:N1"/>
    </sheetView>
  </sheetViews>
  <sheetFormatPr defaultColWidth="8.6328125" defaultRowHeight="14.5" x14ac:dyDescent="0.35"/>
  <sheetData>
    <row r="1" spans="1:14" ht="27.75" customHeight="1" x14ac:dyDescent="0.35">
      <c r="A1" s="6" t="s">
        <v>73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95959"/>
  </sheetPr>
  <dimension ref="A1:C9"/>
  <sheetViews>
    <sheetView showGridLines="0" zoomScaleNormal="100" workbookViewId="0">
      <selection sqref="A1:C1"/>
    </sheetView>
  </sheetViews>
  <sheetFormatPr defaultColWidth="8.6328125" defaultRowHeight="14.5" x14ac:dyDescent="0.35"/>
  <cols>
    <col min="1" max="1" width="5" customWidth="1"/>
    <col min="2" max="2" width="28" customWidth="1"/>
    <col min="3" max="3" width="55" customWidth="1"/>
  </cols>
  <sheetData>
    <row r="1" spans="1:3" ht="27.75" customHeight="1" x14ac:dyDescent="0.35">
      <c r="A1" s="6" t="s">
        <v>74</v>
      </c>
      <c r="B1" s="6"/>
      <c r="C1" s="6"/>
    </row>
    <row r="3" spans="1:3" ht="54.75" customHeight="1" x14ac:dyDescent="0.35">
      <c r="B3" s="39" t="s">
        <v>75</v>
      </c>
      <c r="C3" s="34" t="s">
        <v>76</v>
      </c>
    </row>
    <row r="4" spans="1:3" ht="54.75" customHeight="1" x14ac:dyDescent="0.35">
      <c r="B4" s="40" t="s">
        <v>77</v>
      </c>
      <c r="C4" s="41" t="s">
        <v>78</v>
      </c>
    </row>
    <row r="5" spans="1:3" ht="54.75" customHeight="1" x14ac:dyDescent="0.35">
      <c r="B5" s="40" t="s">
        <v>79</v>
      </c>
      <c r="C5" s="34" t="s">
        <v>80</v>
      </c>
    </row>
    <row r="6" spans="1:3" ht="54.75" customHeight="1" x14ac:dyDescent="0.35">
      <c r="B6" s="40" t="s">
        <v>81</v>
      </c>
      <c r="C6" s="41" t="s">
        <v>82</v>
      </c>
    </row>
    <row r="7" spans="1:3" ht="54.75" customHeight="1" x14ac:dyDescent="0.35">
      <c r="B7" s="42" t="s">
        <v>83</v>
      </c>
      <c r="C7" s="34" t="s">
        <v>84</v>
      </c>
    </row>
    <row r="8" spans="1:3" ht="54.75" customHeight="1" x14ac:dyDescent="0.35">
      <c r="B8" s="43" t="s">
        <v>85</v>
      </c>
      <c r="C8" s="41" t="s">
        <v>86</v>
      </c>
    </row>
    <row r="9" spans="1:3" ht="54.75" customHeight="1" x14ac:dyDescent="0.35">
      <c r="B9" s="43" t="s">
        <v>87</v>
      </c>
      <c r="C9" s="34" t="s">
        <v>88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Raw Data</vt:lpstr>
      <vt:lpstr>Descriptive Stats</vt:lpstr>
      <vt:lpstr>Correlation Matrix</vt:lpstr>
      <vt:lpstr>OLS Regression</vt:lpstr>
      <vt:lpstr>Charts &amp; Trends</vt:lpstr>
      <vt:lpstr>Policy Implications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Shreyasi Sharma</cp:lastModifiedBy>
  <cp:revision>1</cp:revision>
  <dcterms:created xsi:type="dcterms:W3CDTF">2026-05-12T08:12:26Z</dcterms:created>
  <dcterms:modified xsi:type="dcterms:W3CDTF">2026-05-17T07:48:47Z</dcterms:modified>
  <dc:language>en-US</dc:language>
</cp:coreProperties>
</file>